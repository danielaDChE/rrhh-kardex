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562a55dab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l" sheetId="1" r:id="R762c6c759c4f4b43"/>
    <x:sheet xmlns:r="http://schemas.openxmlformats.org/officeDocument/2006/relationships" name="Vacaciones" sheetId="2" r:id="R0931c6a05e20477d"/>
    <x:sheet xmlns:r="http://schemas.openxmlformats.org/officeDocument/2006/relationships" name="Planilla" sheetId="3" r:id="R65d8064859da4f5a"/>
    <x:sheet xmlns:r="http://schemas.openxmlformats.org/officeDocument/2006/relationships" name="Items_POAI_2026" sheetId="4" r:id="Re035fab11ee44cb5"/>
    <x:sheet xmlns:r="http://schemas.openxmlformats.org/officeDocument/2006/relationships" name="Resumen" sheetId="5" r:id="R600a5a6bf4eb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F3D"/>
      </x:patternFill>
    </x:fill>
    <x:fill>
      <x:patternFill patternType="solid">
        <x:fgColor rgb="FF2F7D61"/>
      </x:patternFill>
    </x:fill>
    <x:fill>
      <x:patternFill patternType="solid">
        <x:fgColor rgb="FF337AB7"/>
      </x:patternFill>
    </x:fill>
    <x:fill>
      <x:patternFill patternType="solid">
        <x:fgColor rgb="FF8E6C8A"/>
      </x:patternFill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73fc5086b4b8c" /><Relationship Type="http://schemas.openxmlformats.org/officeDocument/2006/relationships/theme" Target="/xl/theme/theme1.xml" Id="R2836ca98bac64dba" /><Relationship Type="http://schemas.openxmlformats.org/officeDocument/2006/relationships/sharedStrings" Target="/xl/sharedStrings.xml" Id="R8c4b7c71792d4340" /><Relationship Type="http://schemas.openxmlformats.org/officeDocument/2006/relationships/worksheet" Target="/xl/worksheets/sheet1.xml" Id="R762c6c759c4f4b43" /><Relationship Type="http://schemas.openxmlformats.org/officeDocument/2006/relationships/worksheet" Target="/xl/worksheets/sheet2.xml" Id="R0931c6a05e20477d" /><Relationship Type="http://schemas.openxmlformats.org/officeDocument/2006/relationships/worksheet" Target="/xl/worksheets/sheet3.xml" Id="R65d8064859da4f5a" /><Relationship Type="http://schemas.openxmlformats.org/officeDocument/2006/relationships/worksheet" Target="/xl/worksheets/sheet4.xml" Id="Re035fab11ee44cb5" /><Relationship Type="http://schemas.openxmlformats.org/officeDocument/2006/relationships/worksheet" Target="/xl/worksheets/sheet5.xml" Id="R600a5a6bf4eb4b16" /></Relationships>
</file>

<file path=xl/tables/table1.xml><?xml version="1.0" encoding="utf-8"?>
<x:table xmlns:x="http://schemas.openxmlformats.org/spreadsheetml/2006/main" id="1" name="PersonalTable" displayName="PersonalTable" ref="A1:H6" headerRowCount="1" totalsRowCount="0" totalsRowShown="0">
  <x:tableColumns count="8">
    <x:tableColumn id="1" name="C.I."/>
    <x:tableColumn id="2" name="Servidor público"/>
    <x:tableColumn id="3" name="Ítem"/>
    <x:tableColumn id="4" name="Cargo"/>
    <x:tableColumn id="5" name="Dependencia"/>
    <x:tableColumn id="6" name="Asignación actual"/>
    <x:tableColumn id="7" name="Fecha ingreso"/>
    <x:tableColumn id="8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cacionesTable" displayName="VacacionesTable" ref="A1:G5" headerRowCount="1" totalsRowCount="0" totalsRowShown="0">
  <x:tableColumns count="7">
    <x:tableColumn id="1" name="Servidor"/>
    <x:tableColumn id="2" name="Gestión"/>
    <x:tableColumn id="3" name="Días disponibles"/>
    <x:tableColumn id="4" name="Días utilizados"/>
    <x:tableColumn id="5" name="Saldo"/>
    <x:tableColumn id="6" name="Inicio solicitado"/>
    <x:tableColumn id="7" name="Días solicitado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illaTable" displayName="PlanillaTable" ref="A1:H6" headerRowCount="1" totalsRowCount="0" totalsRowShown="0">
  <x:tableColumns count="8">
    <x:tableColumn id="1" name="Servidor"/>
    <x:tableColumn id="2" name="Ítem"/>
    <x:tableColumn id="3" name="Haber básico"/>
    <x:tableColumn id="4" name="Subsidios"/>
    <x:tableColumn id="5" name="Descuentos"/>
    <x:tableColumn id="6" name="Sanciones"/>
    <x:tableColumn id="7" name="Líquido pagable"/>
    <x:tableColumn id="8" name="Perio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AITable" displayName="POAITable" ref="A1:H5" headerRowCount="1" totalsRowCount="0" totalsRowShown="0">
  <x:tableColumns count="8">
    <x:tableColumn id="1" name="Ítem"/>
    <x:tableColumn id="2" name="Dependencia"/>
    <x:tableColumn id="3" name="Puesto funcional"/>
    <x:tableColumn id="4" name="Gestión"/>
    <x:tableColumn id="5" name="Formación requerida"/>
    <x:tableColumn id="6" name="Experiencia general"/>
    <x:tableColumn id="7" name="Experiencia específica"/>
    <x:tableColumn id="8" name="Funciones princip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35a3eca2b144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73af0762c746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3cf9d3e4fb41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c552b3d47f047b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10" hidden="0" customWidth="1"/>
    <x:col min="4" max="4" width="24" hidden="0" customWidth="1"/>
    <x:col min="5" max="5" width="32" hidden="0" customWidth="1"/>
    <x:col min="6" max="6" width="34" hidden="0" customWidth="1"/>
    <x:col min="7" max="7" width="14" hidden="0" customWidth="1"/>
    <x:col min="8" max="8" width="12" hidden="0" customWidth="1"/>
  </x:cols>
  <x:sheetData>
    <x:row r="1">
      <x:c r="A1" s="8" t="str">
        <x:v>C.I.</x:v>
      </x:c>
      <x:c r="B1" s="8" t="str">
        <x:v>Servidor público</x:v>
      </x:c>
      <x:c r="C1" s="8" t="str">
        <x:v>Ítem</x:v>
      </x:c>
      <x:c r="D1" s="8" t="str">
        <x:v>Cargo</x:v>
      </x:c>
      <x:c r="E1" s="8" t="str">
        <x:v>Dependencia</x:v>
      </x:c>
      <x:c r="F1" s="8" t="str">
        <x:v>Asignación actual</x:v>
      </x:c>
      <x:c r="G1" s="8" t="str">
        <x:v>Fecha ingreso</x:v>
      </x:c>
      <x:c r="H1" s="8" t="str">
        <x:v>Estado</x:v>
      </x:c>
    </x:row>
    <x:row r="2">
      <x:c r="A2" s="9" t="str">
        <x:v>6842197 LP</x:v>
      </x:c>
      <x:c r="B2" s="9" t="str">
        <x:v>Lucía Fernanda Quispe Mamani</x:v>
      </x:c>
      <x:c r="C2" s="9" t="n">
        <x:v>152</x:v>
      </x:c>
      <x:c r="D2" s="9" t="str">
        <x:v>Psicóloga I</x:v>
      </x:c>
      <x:c r="E2" s="9" t="str">
        <x:v>Unidad de Administración de Centros</x:v>
      </x:c>
      <x:c r="F2" s="9" t="str">
        <x:v>Centro de Acogida José Soria</x:v>
      </x:c>
      <x:c r="G2" s="12" t="n">
        <x:v>44595</x:v>
      </x:c>
      <x:c r="H2" s="9" t="str">
        <x:v>ACTIVO</x:v>
      </x:c>
    </x:row>
    <x:row r="3">
      <x:c r="A3" s="9" t="str">
        <x:v>5931024 LP</x:v>
      </x:c>
      <x:c r="B3" s="9" t="str">
        <x:v>Marco Antonio Flores Choque</x:v>
      </x:c>
      <x:c r="C3" s="9" t="n">
        <x:v>285</x:v>
      </x:c>
      <x:c r="D3" s="9" t="str">
        <x:v>Trabajador Social</x:v>
      </x:c>
      <x:c r="E3" s="9" t="str">
        <x:v>Unidad de Administración de Centros</x:v>
      </x:c>
      <x:c r="F3" s="9" t="str">
        <x:v>Centro de Acogida Félix Méndez Arcos</x:v>
      </x:c>
      <x:c r="G3" s="12" t="n">
        <x:v>43994</x:v>
      </x:c>
      <x:c r="H3" s="9" t="str">
        <x:v>ACTIVO</x:v>
      </x:c>
    </x:row>
    <x:row r="4">
      <x:c r="A4" s="9" t="str">
        <x:v>7785412 LP</x:v>
      </x:c>
      <x:c r="B4" s="9" t="str">
        <x:v>Carla Andrea Paredes Quisbert</x:v>
      </x:c>
      <x:c r="C4" s="9" t="n">
        <x:v>311</x:v>
      </x:c>
      <x:c r="D4" s="9" t="str">
        <x:v>Auxiliar de Enfermería</x:v>
      </x:c>
      <x:c r="E4" s="9" t="str">
        <x:v>Unidad de Salud</x:v>
      </x:c>
      <x:c r="F4" s="9" t="str">
        <x:v>Instituto de Adaptación Infantil - IDAI</x:v>
      </x:c>
      <x:c r="G4" s="12" t="n">
        <x:v>45188</x:v>
      </x:c>
      <x:c r="H4" s="9" t="str">
        <x:v>ACTIVO</x:v>
      </x:c>
    </x:row>
    <x:row r="5">
      <x:c r="A5" s="9" t="str">
        <x:v>6123845 LP</x:v>
      </x:c>
      <x:c r="B5" s="9" t="str">
        <x:v>Diego Alejandro Choque Lima</x:v>
      </x:c>
      <x:c r="C5" s="9" t="n">
        <x:v>198</x:v>
      </x:c>
      <x:c r="D5" s="9" t="str">
        <x:v>Analista Contable</x:v>
      </x:c>
      <x:c r="E5" s="9" t="str">
        <x:v>Unidad Administrativa Financiera</x:v>
      </x:c>
      <x:c r="F5" s="9" t="str">
        <x:v>Oficina Central</x:v>
      </x:c>
      <x:c r="G5" s="12" t="n">
        <x:v>44204</x:v>
      </x:c>
      <x:c r="H5" s="9" t="str">
        <x:v>ACTIVO</x:v>
      </x:c>
    </x:row>
    <x:row r="6">
      <x:c r="A6" s="9" t="str">
        <x:v>7310048 LP</x:v>
      </x:c>
      <x:c r="B6" s="9" t="str">
        <x:v>Ana Belén Paredes Quispe</x:v>
      </x:c>
      <x:c r="C6" s="9" t="n">
        <x:v>244</x:v>
      </x:c>
      <x:c r="D6" s="9" t="str">
        <x:v>Asistente Administrativo</x:v>
      </x:c>
      <x:c r="E6" s="9" t="str">
        <x:v>Unidad Administrativa Financiera</x:v>
      </x:c>
      <x:c r="F6" s="9" t="str">
        <x:v>Oficina Central</x:v>
      </x:c>
      <x:c r="G6" s="12" t="n">
        <x:v>45366</x:v>
      </x:c>
      <x:c r="H6" s="9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0135a3eca2b144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>
      <x:c r="A1" s="22" t="str">
        <x:v>Servidor</x:v>
      </x:c>
      <x:c r="B1" s="22" t="str">
        <x:v>Gestión</x:v>
      </x:c>
      <x:c r="C1" s="22" t="str">
        <x:v>Días disponibles</x:v>
      </x:c>
      <x:c r="D1" s="22" t="str">
        <x:v>Días utilizados</x:v>
      </x:c>
      <x:c r="E1" s="22" t="str">
        <x:v>Saldo</x:v>
      </x:c>
      <x:c r="F1" s="22" t="str">
        <x:v>Inicio solicitado</x:v>
      </x:c>
      <x:c r="G1" s="22" t="str">
        <x:v>Días solicitados</x:v>
      </x:c>
    </x:row>
    <x:row r="2">
      <x:c r="A2" s="9" t="str">
        <x:v>Lucía Fernanda Quispe Mamani</x:v>
      </x:c>
      <x:c r="B2" s="9" t="str">
        <x:v>2025-2026</x:v>
      </x:c>
      <x:c r="C2" s="9" t="n">
        <x:v>15</x:v>
      </x:c>
      <x:c r="D2" s="9" t="n">
        <x:v>5</x:v>
      </x:c>
      <x:c r="E2" s="9" t="n">
        <x:f>C2-D2</x:f>
        <x:v>10</x:v>
      </x:c>
      <x:c r="F2" s="12" t="n">
        <x:v>46300</x:v>
      </x:c>
      <x:c r="G2" s="9" t="n">
        <x:v>5</x:v>
      </x:c>
    </x:row>
    <x:row r="3">
      <x:c r="A3" s="9" t="str">
        <x:v>Marco Antonio Flores Choque</x:v>
      </x:c>
      <x:c r="B3" s="9" t="str">
        <x:v>2025-2026</x:v>
      </x:c>
      <x:c r="C3" s="9" t="n">
        <x:v>15</x:v>
      </x:c>
      <x:c r="D3" s="9" t="n">
        <x:v>10</x:v>
      </x:c>
      <x:c r="E3" s="9" t="n">
        <x:f>C3-D3</x:f>
        <x:v>5</x:v>
      </x:c>
      <x:c r="F3" s="12" t="n">
        <x:v>46293</x:v>
      </x:c>
      <x:c r="G3" s="9" t="n">
        <x:v>3</x:v>
      </x:c>
    </x:row>
    <x:row r="4">
      <x:c r="A4" s="9" t="str">
        <x:v>Carla Andrea Paredes Quisbert</x:v>
      </x:c>
      <x:c r="B4" s="9" t="str">
        <x:v>2025-2026</x:v>
      </x:c>
      <x:c r="C4" s="9" t="n">
        <x:v>15</x:v>
      </x:c>
      <x:c r="D4" s="9" t="n">
        <x:v>0</x:v>
      </x:c>
      <x:c r="E4" s="9" t="n">
        <x:f>C4-D4</x:f>
        <x:v>15</x:v>
      </x:c>
      <x:c r="F4" s="12"/>
      <x:c r="G4" s="9" t="n">
        <x:v>0</x:v>
      </x:c>
    </x:row>
    <x:row r="5">
      <x:c r="A5" s="9" t="str">
        <x:v>Diego Alejandro Choque Lima</x:v>
      </x:c>
      <x:c r="B5" s="9" t="str">
        <x:v>2025-2026</x:v>
      </x:c>
      <x:c r="C5" s="9" t="n">
        <x:v>15</x:v>
      </x:c>
      <x:c r="D5" s="9" t="n">
        <x:v>7</x:v>
      </x:c>
      <x:c r="E5" s="9" t="n">
        <x:f>C5-D5</x:f>
        <x:v>8</x:v>
      </x:c>
      <x:c r="F5" s="12" t="n">
        <x:v>46328</x:v>
      </x:c>
      <x:c r="G5" s="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d673af0762c746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2" hidden="0" customWidth="1"/>
  </x:cols>
  <x:sheetData>
    <x:row r="1">
      <x:c r="A1" s="32" t="str">
        <x:v>Servidor</x:v>
      </x:c>
      <x:c r="B1" s="32" t="str">
        <x:v>Ítem</x:v>
      </x:c>
      <x:c r="C1" s="32" t="str">
        <x:v>Haber básico</x:v>
      </x:c>
      <x:c r="D1" s="32" t="str">
        <x:v>Subsidios</x:v>
      </x:c>
      <x:c r="E1" s="32" t="str">
        <x:v>Descuentos</x:v>
      </x:c>
      <x:c r="F1" s="32" t="str">
        <x:v>Sanciones</x:v>
      </x:c>
      <x:c r="G1" s="32" t="str">
        <x:v>Líquido pagable</x:v>
      </x:c>
      <x:c r="H1" s="32" t="str">
        <x:v>Periodo</x:v>
      </x:c>
    </x:row>
    <x:row r="2">
      <x:c r="A2" s="9" t="str">
        <x:v>Lucía Fernanda Quispe Mamani</x:v>
      </x:c>
      <x:c r="B2" s="9" t="n">
        <x:v>152</x:v>
      </x:c>
      <x:c r="C2" s="33" t="n">
        <x:v>6850</x:v>
      </x:c>
      <x:c r="D2" s="33" t="n">
        <x:v>0</x:v>
      </x:c>
      <x:c r="E2" s="33" t="n">
        <x:v>250</x:v>
      </x:c>
      <x:c r="F2" s="33" t="n">
        <x:v>62.5</x:v>
      </x:c>
      <x:c r="G2" s="33" t="n">
        <x:f>C2+D2-E2-F2</x:f>
        <x:v>6537.5</x:v>
      </x:c>
      <x:c r="H2" s="9" t="str">
        <x:v>09/2026</x:v>
      </x:c>
    </x:row>
    <x:row r="3">
      <x:c r="A3" s="9" t="str">
        <x:v>Marco Antonio Flores Choque</x:v>
      </x:c>
      <x:c r="B3" s="9" t="n">
        <x:v>285</x:v>
      </x:c>
      <x:c r="C3" s="33" t="n">
        <x:v>6420</x:v>
      </x:c>
      <x:c r="D3" s="33" t="n">
        <x:v>0</x:v>
      </x:c>
      <x:c r="E3" s="33" t="n">
        <x:v>220</x:v>
      </x:c>
      <x:c r="F3" s="33" t="n">
        <x:v>0</x:v>
      </x:c>
      <x:c r="G3" s="33" t="n">
        <x:f>C3+D3-E3-F3</x:f>
        <x:v>6200</x:v>
      </x:c>
      <x:c r="H3" s="9" t="str">
        <x:v>09/2026</x:v>
      </x:c>
    </x:row>
    <x:row r="4">
      <x:c r="A4" s="9" t="str">
        <x:v>Carla Andrea Paredes Quisbert</x:v>
      </x:c>
      <x:c r="B4" s="9" t="n">
        <x:v>311</x:v>
      </x:c>
      <x:c r="C4" s="33" t="n">
        <x:v>4950</x:v>
      </x:c>
      <x:c r="D4" s="33" t="n">
        <x:v>500</x:v>
      </x:c>
      <x:c r="E4" s="33" t="n">
        <x:v>185</x:v>
      </x:c>
      <x:c r="F4" s="33" t="n">
        <x:v>0</x:v>
      </x:c>
      <x:c r="G4" s="33" t="n">
        <x:f>C4+D4-E4-F4</x:f>
        <x:v>5265</x:v>
      </x:c>
      <x:c r="H4" s="9" t="str">
        <x:v>09/2026</x:v>
      </x:c>
    </x:row>
    <x:row r="5">
      <x:c r="A5" s="9" t="str">
        <x:v>Diego Alejandro Choque Lima</x:v>
      </x:c>
      <x:c r="B5" s="9" t="n">
        <x:v>198</x:v>
      </x:c>
      <x:c r="C5" s="33" t="n">
        <x:v>7200</x:v>
      </x:c>
      <x:c r="D5" s="33" t="n">
        <x:v>0</x:v>
      </x:c>
      <x:c r="E5" s="33" t="n">
        <x:v>260</x:v>
      </x:c>
      <x:c r="F5" s="33" t="n">
        <x:v>135</x:v>
      </x:c>
      <x:c r="G5" s="33" t="n">
        <x:f>C5+D5-E5-F5</x:f>
        <x:v>6805</x:v>
      </x:c>
      <x:c r="H5" s="9" t="str">
        <x:v>09/2026</x:v>
      </x:c>
    </x:row>
    <x:row r="6">
      <x:c r="A6" s="9" t="str">
        <x:v>Ana Belén Paredes Quispe</x:v>
      </x:c>
      <x:c r="B6" s="9" t="n">
        <x:v>244</x:v>
      </x:c>
      <x:c r="C6" s="33" t="n">
        <x:v>5100</x:v>
      </x:c>
      <x:c r="D6" s="33" t="n">
        <x:v>0</x:v>
      </x:c>
      <x:c r="E6" s="33" t="n">
        <x:v>190</x:v>
      </x:c>
      <x:c r="F6" s="33" t="n">
        <x:v>0</x:v>
      </x:c>
      <x:c r="G6" s="33" t="n">
        <x:f>C6+D6-E6-F6</x:f>
        <x:v>4910</x:v>
      </x:c>
      <x:c r="H6" s="9" t="str">
        <x:v>09/2026</x:v>
      </x:c>
    </x:row>
  </x:sheetData>
  <x:pageMargins left="0.7" right="0.7" top="0.75" bottom="0.75" header="0.3" footer="0.3"/>
  <x:tableParts count="1">
    <x:tablePart xmlns:r="http://schemas.openxmlformats.org/officeDocument/2006/relationships" r:id="R743cf9d3e4fb41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4" hidden="0" customWidth="1"/>
    <x:col min="4" max="4" width="10" hidden="0" customWidth="1"/>
    <x:col min="5" max="5" width="38" hidden="0" customWidth="1"/>
    <x:col min="6" max="6" width="25" hidden="0" customWidth="1"/>
    <x:col min="7" max="7" width="25" hidden="0" customWidth="1"/>
    <x:col min="8" max="8" width="48" hidden="0" customWidth="1"/>
  </x:cols>
  <x:sheetData>
    <x:row r="1">
      <x:c r="A1" s="42" t="str">
        <x:v>Ítem</x:v>
      </x:c>
      <x:c r="B1" s="42" t="str">
        <x:v>Dependencia</x:v>
      </x:c>
      <x:c r="C1" s="42" t="str">
        <x:v>Puesto funcional</x:v>
      </x:c>
      <x:c r="D1" s="42" t="str">
        <x:v>Gestión</x:v>
      </x:c>
      <x:c r="E1" s="42" t="str">
        <x:v>Formación requerida</x:v>
      </x:c>
      <x:c r="F1" s="42" t="str">
        <x:v>Experiencia general</x:v>
      </x:c>
      <x:c r="G1" s="42" t="str">
        <x:v>Experiencia específica</x:v>
      </x:c>
      <x:c r="H1" s="42" t="str">
        <x:v>Funciones principales</x:v>
      </x:c>
    </x:row>
    <x:row r="2">
      <x:c r="A2" s="9" t="n">
        <x:v>152</x:v>
      </x:c>
      <x:c r="B2" s="9" t="str">
        <x:v>Unidad de Administración de Centros</x:v>
      </x:c>
      <x:c r="C2" s="9" t="str">
        <x:v>Psicólogo I</x:v>
      </x:c>
      <x:c r="D2" s="9" t="n">
        <x:v>2026</x:v>
      </x:c>
      <x:c r="E2" s="9" t="str">
        <x:v>Licenciatura en Psicología con título profesional</x:v>
      </x:c>
      <x:c r="F2" s="9" t="str">
        <x:v>2 años</x:v>
      </x:c>
      <x:c r="G2" s="9" t="str">
        <x:v>1 año en atención psicosocial o protección</x:v>
      </x:c>
      <x:c r="H2" s="9" t="str">
        <x:v>Evaluación psicológica; seguimiento de casos; informes técnicos; coordinación interdisciplinaria</x:v>
      </x:c>
    </x:row>
    <x:row r="3">
      <x:c r="A3" s="9" t="n">
        <x:v>285</x:v>
      </x:c>
      <x:c r="B3" s="9" t="str">
        <x:v>Unidad de Administración de Centros</x:v>
      </x:c>
      <x:c r="C3" s="9" t="str">
        <x:v>Trabajador Social</x:v>
      </x:c>
      <x:c r="D3" s="9" t="n">
        <x:v>2026</x:v>
      </x:c>
      <x:c r="E3" s="9" t="str">
        <x:v>Licenciatura en Trabajo Social con título profesional</x:v>
      </x:c>
      <x:c r="F3" s="9" t="str">
        <x:v>2 años</x:v>
      </x:c>
      <x:c r="G3" s="9" t="str">
        <x:v>1 año en intervención social</x:v>
      </x:c>
      <x:c r="H3" s="9" t="str">
        <x:v>Valoración sociofamiliar; seguimiento; coordinación interinstitucional; informes sociales</x:v>
      </x:c>
    </x:row>
    <x:row r="4">
      <x:c r="A4" s="9" t="n">
        <x:v>311</x:v>
      </x:c>
      <x:c r="B4" s="9" t="str">
        <x:v>Unidad de Salud</x:v>
      </x:c>
      <x:c r="C4" s="9" t="str">
        <x:v>Auxiliar de Enfermería</x:v>
      </x:c>
      <x:c r="D4" s="9" t="n">
        <x:v>2026</x:v>
      </x:c>
      <x:c r="E4" s="9" t="str">
        <x:v>Técnico Medio o Superior en Enfermería</x:v>
      </x:c>
      <x:c r="F4" s="9" t="str">
        <x:v>1 año</x:v>
      </x:c>
      <x:c r="G4" s="9" t="str">
        <x:v>Experiencia en atención asistencial</x:v>
      </x:c>
      <x:c r="H4" s="9" t="str">
        <x:v>Apoyo en enfermería; controles básicos; tratamiento; registros</x:v>
      </x:c>
    </x:row>
    <x:row r="5">
      <x:c r="A5" s="9" t="n">
        <x:v>198</x:v>
      </x:c>
      <x:c r="B5" s="9" t="str">
        <x:v>Área de Contabilidad</x:v>
      </x:c>
      <x:c r="C5" s="9" t="str">
        <x:v>Analista Contable</x:v>
      </x:c>
      <x:c r="D5" s="9" t="n">
        <x:v>2026</x:v>
      </x:c>
      <x:c r="E5" s="9" t="str">
        <x:v>Licenciatura en Contaduría Pública o Auditoría</x:v>
      </x:c>
      <x:c r="F5" s="9" t="str">
        <x:v>3 años</x:v>
      </x:c>
      <x:c r="G5" s="9" t="str">
        <x:v>2 años en contabilidad pública</x:v>
      </x:c>
      <x:c r="H5" s="9" t="str">
        <x:v>Análisis contable; conciliaciones; cierres; reportes financieros</x:v>
      </x:c>
    </x:row>
  </x:sheetData>
  <x:pageMargins left="0.7" right="0.7" top="0.75" bottom="0.75" header="0.3" footer="0.3"/>
  <x:tableParts count="1">
    <x:tablePart xmlns:r="http://schemas.openxmlformats.org/officeDocument/2006/relationships" r:id="R2c552b3d47f047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4" max="4" width="28" hidden="0" customWidth="1"/>
    <x:col min="5" max="5" width="26" hidden="0" customWidth="1"/>
    <x:col min="6" max="6" width="42" hidden="0" customWidth="1"/>
  </x:cols>
  <x:sheetData>
    <x:row r="1">
      <x:c r="A1" s="46" t="str">
        <x:v>REPORTE DEMOSTRATIVO - SISTEMA INTEGRADO DE ADMINISTRACIÓN DE PERSONAL</x:v>
      </x:c>
      <x:c r="B1" s="46"/>
      <x:c r="C1" s="46"/>
      <x:c r="D1" s="46"/>
      <x:c r="E1" s="46"/>
      <x:c r="F1" s="46"/>
    </x:row>
    <x:row r="3">
      <x:c r="A3" s="3" t="str">
        <x:v>Indicador</x:v>
      </x:c>
      <x:c r="B3" s="3" t="str">
        <x:v>Valor</x:v>
      </x:c>
      <x:c r="D3" s="50" t="str">
        <x:v>Nota</x:v>
      </x:c>
      <x:c r="E3" s="50" t="str">
        <x:v>Uso</x:v>
      </x:c>
      <x:c r="F3" s="50" t="str">
        <x:v>Alcance</x:v>
      </x:c>
    </x:row>
    <x:row r="4">
      <x:c r="A4" t="str">
        <x:v>Servidores de muestra</x:v>
      </x:c>
      <x:c r="B4" t="n">
        <x:v>5</x:v>
      </x:c>
      <x:c r="D4" s="9" t="str">
        <x:v>Datos ficticios</x:v>
      </x:c>
      <x:c r="E4" s="9" t="str">
        <x:v>Presentación de avance</x:v>
      </x:c>
      <x:c r="F4" s="9" t="str">
        <x:v>No corresponde a información real de funcionarios</x:v>
      </x:c>
    </x:row>
    <x:row r="5">
      <x:c r="A5" t="str">
        <x:v>Ítems ocupados de muestra</x:v>
      </x:c>
      <x:c r="B5" t="n">
        <x:v>5</x:v>
      </x:c>
      <x:c r="D5" s="9" t="str">
        <x:v>POAI demostrativo</x:v>
      </x:c>
      <x:c r="E5" s="9" t="str">
        <x:v>Probar detalle del ítem</x:v>
      </x:c>
      <x:c r="F5" s="9" t="str">
        <x:v>Ajustar al archivo institucional PERFILES POAI 2026.xlsx</x:v>
      </x:c>
    </x:row>
    <x:row r="6">
      <x:c r="A6" t="str">
        <x:v>Vacaciones solicitadas</x:v>
      </x:c>
      <x:c r="B6" t="n">
        <x:v>3</x:v>
      </x:c>
    </x:row>
    <x:row r="7">
      <x:c r="A7" t="str">
        <x:v>Novedades con efecto económico</x:v>
      </x:c>
      <x:c r="B7" t="n">
        <x:v>2</x:v>
      </x:c>
    </x:row>
  </x:sheetData>
  <x:mergeCells>
    <x:mergeCell ref="A1:F1"/>
  </x:mergeCells>
  <x:pageMargins left="0.7" right="0.7" top="0.75" bottom="0.75" header="0.3" footer="0.3"/>
</x:worksheet>
</file>